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0ae59269bb8b81/Documents/"/>
    </mc:Choice>
  </mc:AlternateContent>
  <xr:revisionPtr revIDLastSave="9" documentId="8_{CFDFD98C-BDB2-4FA7-BF9F-6E7F8AF9249C}" xr6:coauthVersionLast="47" xr6:coauthVersionMax="47" xr10:uidLastSave="{6EE2474B-40B2-4900-8BB9-86162E196769}"/>
  <bookViews>
    <workbookView xWindow="-120" yWindow="-120" windowWidth="15600" windowHeight="11040" xr2:uid="{0BA8C101-F015-45F7-8205-87686027E51A}"/>
  </bookViews>
  <sheets>
    <sheet name="Informe de respuestas 1" sheetId="5" r:id="rId1"/>
    <sheet name="Hoja1" sheetId="1" r:id="rId2"/>
    <sheet name="Informe de respuestas 2" sheetId="6" r:id="rId3"/>
    <sheet name="Hoja2" sheetId="2" r:id="rId4"/>
  </sheets>
  <definedNames>
    <definedName name="solver_adj" localSheetId="1" hidden="1">Hoja1!$B$13:$C$13</definedName>
    <definedName name="solver_adj" localSheetId="3" hidden="1">Hoja2!$B$23:$E$23</definedName>
    <definedName name="solver_cvg" localSheetId="1" hidden="1">0.0001</definedName>
    <definedName name="solver_cvg" localSheetId="3" hidden="1">0.0001</definedName>
    <definedName name="solver_drv" localSheetId="1" hidden="1">1</definedName>
    <definedName name="solver_drv" localSheetId="3" hidden="1">1</definedName>
    <definedName name="solver_eng" localSheetId="1" hidden="1">1</definedName>
    <definedName name="solver_eng" localSheetId="3" hidden="1">1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lhs1" localSheetId="1" hidden="1">Hoja1!$B$13:$C$13</definedName>
    <definedName name="solver_lhs1" localSheetId="3" hidden="1">Hoja2!$F$26</definedName>
    <definedName name="solver_lhs2" localSheetId="1" hidden="1">Hoja1!$D$16</definedName>
    <definedName name="solver_lhs2" localSheetId="3" hidden="1">Hoja2!$F$27</definedName>
    <definedName name="solver_lhs3" localSheetId="1" hidden="1">Hoja1!$D$17</definedName>
    <definedName name="solver_lhs3" localSheetId="3" hidden="1">Hoja2!$F$28</definedName>
    <definedName name="solver_lhs4" localSheetId="1" hidden="1">Hoja1!$D$18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4</definedName>
    <definedName name="solver_num" localSheetId="3" hidden="1">3</definedName>
    <definedName name="solver_nwt" localSheetId="1" hidden="1">1</definedName>
    <definedName name="solver_nwt" localSheetId="3" hidden="1">1</definedName>
    <definedName name="solver_opt" localSheetId="1" hidden="1">Hoja1!$B$14</definedName>
    <definedName name="solver_opt" localSheetId="3" hidden="1">Hoja2!$B$24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1</definedName>
    <definedName name="solver_rel1" localSheetId="1" hidden="1">4</definedName>
    <definedName name="solver_rel1" localSheetId="3" hidden="1">1</definedName>
    <definedName name="solver_rel2" localSheetId="1" hidden="1">1</definedName>
    <definedName name="solver_rel2" localSheetId="3" hidden="1">1</definedName>
    <definedName name="solver_rel3" localSheetId="1" hidden="1">1</definedName>
    <definedName name="solver_rel3" localSheetId="3" hidden="1">1</definedName>
    <definedName name="solver_rel4" localSheetId="1" hidden="1">1</definedName>
    <definedName name="solver_rhs1" localSheetId="1" hidden="1">"entero"</definedName>
    <definedName name="solver_rhs1" localSheetId="3" hidden="1">Hoja2!$H$26</definedName>
    <definedName name="solver_rhs2" localSheetId="1" hidden="1">Hoja1!$F$16</definedName>
    <definedName name="solver_rhs2" localSheetId="3" hidden="1">Hoja2!$H$27</definedName>
    <definedName name="solver_rhs3" localSheetId="1" hidden="1">Hoja1!$F$17</definedName>
    <definedName name="solver_rhs3" localSheetId="3" hidden="1">Hoja2!$H$28</definedName>
    <definedName name="solver_rhs4" localSheetId="1" hidden="1">Hoja1!$F$18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1" hidden="1">1</definedName>
    <definedName name="solver_typ" localSheetId="3" hidden="1">1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2" l="1"/>
  <c r="F28" i="2"/>
  <c r="F26" i="2"/>
  <c r="D16" i="1"/>
  <c r="B14" i="1"/>
  <c r="B24" i="2"/>
  <c r="E13" i="2"/>
  <c r="E12" i="2"/>
  <c r="E11" i="2"/>
  <c r="E10" i="2"/>
  <c r="D17" i="1"/>
  <c r="D18" i="1"/>
  <c r="C8" i="1"/>
</calcChain>
</file>

<file path=xl/sharedStrings.xml><?xml version="1.0" encoding="utf-8"?>
<sst xmlns="http://schemas.openxmlformats.org/spreadsheetml/2006/main" count="174" uniqueCount="122">
  <si>
    <t xml:space="preserve">prenda </t>
  </si>
  <si>
    <t>minutos por unidas}d</t>
  </si>
  <si>
    <t>corte</t>
  </si>
  <si>
    <t>costura</t>
  </si>
  <si>
    <t>empaque</t>
  </si>
  <si>
    <t xml:space="preserve">camisas </t>
  </si>
  <si>
    <t xml:space="preserve">blusas </t>
  </si>
  <si>
    <t>n de trab.</t>
  </si>
  <si>
    <t>n de horas</t>
  </si>
  <si>
    <t>h/totales</t>
  </si>
  <si>
    <t>t. min</t>
  </si>
  <si>
    <t>x1: # de camisas a producir</t>
  </si>
  <si>
    <t>x2:# de blusas a producir</t>
  </si>
  <si>
    <t>max z=8x1+12x2</t>
  </si>
  <si>
    <t>20x1+60x2&lt;=60000</t>
  </si>
  <si>
    <t>12x1+4x2&lt;=1200</t>
  </si>
  <si>
    <t>x1&gt;=0</t>
  </si>
  <si>
    <t>x2&gt;=0</t>
  </si>
  <si>
    <t>utilidad unitaria</t>
  </si>
  <si>
    <t xml:space="preserve">min dep. de corte </t>
  </si>
  <si>
    <t>min dep. de costura</t>
  </si>
  <si>
    <t>min dep. de empaque</t>
  </si>
  <si>
    <t>70x1+60x2&lt;=84000</t>
  </si>
  <si>
    <t>coe z</t>
  </si>
  <si>
    <t>x1</t>
  </si>
  <si>
    <t>x2</t>
  </si>
  <si>
    <t>var</t>
  </si>
  <si>
    <t>restricciones</t>
  </si>
  <si>
    <t>r1</t>
  </si>
  <si>
    <t>r2</t>
  </si>
  <si>
    <t>r3</t>
  </si>
  <si>
    <t>&lt;=</t>
  </si>
  <si>
    <t>Microsoft Excel 16.0 Informe de respuestas</t>
  </si>
  <si>
    <t>Hoja de cálculo: [Libro1]Hoja1</t>
  </si>
  <si>
    <t>Resultado: Solver encontró una solución. Se cumplen todas las restricciones y condiciones óptimas.</t>
  </si>
  <si>
    <t>Motor de Solver</t>
  </si>
  <si>
    <t>Motor: GRG Nonlinear</t>
  </si>
  <si>
    <t>Opciones de Solver</t>
  </si>
  <si>
    <t>Tiempo máximo Ilimitado,  Iteraciones Ilimitado, Precision 0,000001, Usar escala automática</t>
  </si>
  <si>
    <t xml:space="preserve"> Convergencia 0,0001, Tamaño de población 100, Valor de inicialización aleatorio 0, Adelantada de derivados, Requerir límites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</si>
  <si>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</si>
  <si>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</si>
  <si>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</si>
  <si>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</si>
  <si>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</si>
  <si>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</si>
  <si>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</si>
  <si>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</si>
  <si>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</si>
  <si>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</si>
  <si>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</si>
  <si>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</si>
  <si>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</si>
  <si>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$B$14</t>
  </si>
  <si>
    <t>var x1</t>
  </si>
  <si>
    <t>$B$13</t>
  </si>
  <si>
    <t>Continuar</t>
  </si>
  <si>
    <t>$C$13</t>
  </si>
  <si>
    <t>$D$16</t>
  </si>
  <si>
    <t>r1 empaque</t>
  </si>
  <si>
    <t>$D$16&lt;=$F$16</t>
  </si>
  <si>
    <t>No vinculante</t>
  </si>
  <si>
    <t>$D$17</t>
  </si>
  <si>
    <t>r2 empaque</t>
  </si>
  <si>
    <t>$D$17&lt;=$F$17</t>
  </si>
  <si>
    <t>$D$18</t>
  </si>
  <si>
    <t>r3 empaque</t>
  </si>
  <si>
    <t>$D$18&lt;=$F$18</t>
  </si>
  <si>
    <t xml:space="preserve">ambas son enteros </t>
  </si>
  <si>
    <t>Informe creado: 28/4/2025 15:05:06</t>
  </si>
  <si>
    <t>Tiempo de la solución: 0,047 segundos.</t>
  </si>
  <si>
    <t>Iteraciones: 3 Subproblemas: 0</t>
  </si>
  <si>
    <t>Vinculante</t>
  </si>
  <si>
    <t>$B$13:$C$13=Entero</t>
  </si>
  <si>
    <t>MAQUINA</t>
  </si>
  <si>
    <t>TIEMPO DE FABBRICAION POR UNIDAD (H)</t>
  </si>
  <si>
    <t>PRODUCTO 1</t>
  </si>
  <si>
    <t>PRODUCTO 2</t>
  </si>
  <si>
    <t>PRODUCTO 3</t>
  </si>
  <si>
    <t>PRODUCTO 4</t>
  </si>
  <si>
    <t>CAPACIDAD</t>
  </si>
  <si>
    <t>COSTO /H(S)</t>
  </si>
  <si>
    <t>PRECIO DE  VENTA UNITARIO (S)</t>
  </si>
  <si>
    <t>X1</t>
  </si>
  <si>
    <t>X2</t>
  </si>
  <si>
    <t>X3</t>
  </si>
  <si>
    <t>X4</t>
  </si>
  <si>
    <t>X1:# DE UTILIDADES A PRODUCIR DEL PROD. 1</t>
  </si>
  <si>
    <t>X2:# DE UTILIDADES A PRODUCIR DEL PROD. 2</t>
  </si>
  <si>
    <t>X3:# DE UTILIDADES A PRODUCIR DEL PROD. 3</t>
  </si>
  <si>
    <t>X4:# DE UTILIDADES A PRODUCIR DEL PROD. 4</t>
  </si>
  <si>
    <t>MAX Z= 56X1+51X2+36X3+26X3</t>
  </si>
  <si>
    <t>2X1+3X2+4X3+2X4&lt;=500</t>
  </si>
  <si>
    <t>3X1+2X2+X3+2X4&lt;=380</t>
  </si>
  <si>
    <t>7X1+3X2+2X3+X4&lt;=450</t>
  </si>
  <si>
    <t>XI&gt;=0</t>
  </si>
  <si>
    <t>COE Z</t>
  </si>
  <si>
    <t>VAR</t>
  </si>
  <si>
    <t>RESTRICCIONES</t>
  </si>
  <si>
    <t>R1</t>
  </si>
  <si>
    <t>R2</t>
  </si>
  <si>
    <t>R3</t>
  </si>
  <si>
    <t>Hoja de cálculo: [practica de operatica(28_4_2025).xlsx]Hoja2</t>
  </si>
  <si>
    <t>Informe creado: 28/4/2025 15:45:13</t>
  </si>
  <si>
    <t>Tiempo de la solución: 0,094 segundos.</t>
  </si>
  <si>
    <t>Iteraciones: 6 Subproblemas: 0</t>
  </si>
  <si>
    <t>$B$24</t>
  </si>
  <si>
    <t>VAR X1</t>
  </si>
  <si>
    <t>$B$23</t>
  </si>
  <si>
    <t>$C$23</t>
  </si>
  <si>
    <t>$D$23</t>
  </si>
  <si>
    <t>$E$23</t>
  </si>
  <si>
    <t>$F$26</t>
  </si>
  <si>
    <t>R1 PRODUCTO 4</t>
  </si>
  <si>
    <t>$F$26&lt;=$H$26</t>
  </si>
  <si>
    <t>$F$27</t>
  </si>
  <si>
    <t>R2 PRODUCTO 4</t>
  </si>
  <si>
    <t>$F$27&lt;=$H$27</t>
  </si>
  <si>
    <t>$F$28</t>
  </si>
  <si>
    <t>R3 PRODUCTO 4</t>
  </si>
  <si>
    <t>$F$28&lt;=$H$28</t>
  </si>
  <si>
    <t>$B$23:$E$23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</si>
</sst>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2" borderId="1" xfId="0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/>
    <xf numFmtId="0" fontId="0" fillId="0" borderId="9" xfId="0" applyFill="1" applyBorder="1" applyAlignment="1"/>
    <xf numFmtId="0" fontId="3" fillId="0" borderId="8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0" fillId="0" borderId="9" xfId="0" applyNumberFormat="1" applyFill="1" applyBorder="1" applyAlignment="1"/>
    <xf numFmtId="0" fontId="0" fillId="0" borderId="10" xfId="0" applyNumberFormat="1" applyFill="1" applyBorder="1" applyAlignment="1"/>
    <xf numFmtId="0" fontId="0" fillId="0" borderId="0" xfId="0" applyNumberFormat="1" applyFill="1" applyBorder="1" applyAlignment="1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4BBF-4180-4AAC-ABAE-59C9EDDF9BDA}">
  <dimension ref="A1:G30"/>
  <sheetViews>
    <sheetView showGridLines="0" tabSelected="1" workbookViewId="0"/>
  </sheetViews>
  <sheetFormatPr baseColWidth="10" defaultRowHeight="15" outlineLevelRow="1" x14ac:dyDescent="0.25"/>
  <cols>
    <col min="1" max="1" width="2.28515625" customWidth="1"/>
    <col min="2" max="2" width="18.85546875" bestFit="1" customWidth="1"/>
    <col min="3" max="3" width="11.5703125" bestFit="1" customWidth="1"/>
    <col min="4" max="4" width="15.5703125" bestFit="1" customWidth="1"/>
    <col min="5" max="6" width="13.28515625" bestFit="1" customWidth="1"/>
    <col min="7" max="7" width="8" bestFit="1" customWidth="1"/>
  </cols>
  <sheetData>
    <row r="1" spans="1:5" x14ac:dyDescent="0.25">
      <c r="A1" s="26" t="s">
        <v>32</v>
      </c>
    </row>
    <row r="2" spans="1:5" x14ac:dyDescent="0.25">
      <c r="A2" s="18" t="s">
        <v>33</v>
      </c>
    </row>
    <row r="3" spans="1:5" x14ac:dyDescent="0.25">
      <c r="A3" s="18" t="s">
        <v>69</v>
      </c>
    </row>
    <row r="4" spans="1:5" x14ac:dyDescent="0.25">
      <c r="A4" s="18" t="s">
        <v>34</v>
      </c>
    </row>
    <row r="5" spans="1:5" x14ac:dyDescent="0.25">
      <c r="A5" s="18" t="s">
        <v>35</v>
      </c>
    </row>
    <row r="6" spans="1:5" hidden="1" outlineLevel="1" x14ac:dyDescent="0.25">
      <c r="A6" s="18"/>
      <c r="B6" t="s">
        <v>36</v>
      </c>
    </row>
    <row r="7" spans="1:5" hidden="1" outlineLevel="1" x14ac:dyDescent="0.25">
      <c r="A7" s="18"/>
      <c r="B7" t="s">
        <v>70</v>
      </c>
    </row>
    <row r="8" spans="1:5" hidden="1" outlineLevel="1" x14ac:dyDescent="0.25">
      <c r="A8" s="18"/>
      <c r="B8" t="s">
        <v>71</v>
      </c>
    </row>
    <row r="9" spans="1:5" collapsed="1" x14ac:dyDescent="0.25">
      <c r="A9" s="18" t="s">
        <v>37</v>
      </c>
    </row>
    <row r="10" spans="1:5" hidden="1" outlineLevel="1" x14ac:dyDescent="0.25">
      <c r="B10" t="s">
        <v>38</v>
      </c>
    </row>
    <row r="11" spans="1:5" hidden="1" outlineLevel="1" x14ac:dyDescent="0.25">
      <c r="B11" t="s">
        <v>39</v>
      </c>
    </row>
    <row r="12" spans="1:5" hidden="1" outlineLevel="1" x14ac:dyDescent="0.25">
      <c r="B12" t="s">
        <v>40</v>
      </c>
    </row>
    <row r="13" spans="1:5" collapsed="1" x14ac:dyDescent="0.25"/>
    <row r="14" spans="1:5" ht="15.75" thickBot="1" x14ac:dyDescent="0.3">
      <c r="A14" t="s">
        <v>41</v>
      </c>
    </row>
    <row r="15" spans="1:5" ht="15.75" thickBot="1" x14ac:dyDescent="0.3">
      <c r="B15" s="20" t="s">
        <v>42</v>
      </c>
      <c r="C15" s="20" t="s">
        <v>43</v>
      </c>
      <c r="D15" s="20" t="s">
        <v>44</v>
      </c>
      <c r="E15" s="20" t="s">
        <v>45</v>
      </c>
    </row>
    <row r="16" spans="1:5" ht="15.75" thickBot="1" x14ac:dyDescent="0.3">
      <c r="B16" s="19" t="s">
        <v>53</v>
      </c>
      <c r="C16" s="19" t="s">
        <v>54</v>
      </c>
      <c r="D16" s="23">
        <v>0</v>
      </c>
      <c r="E16" s="23">
        <v>3600</v>
      </c>
    </row>
    <row r="19" spans="1:7" ht="15.75" thickBot="1" x14ac:dyDescent="0.3">
      <c r="A19" t="s">
        <v>46</v>
      </c>
    </row>
    <row r="20" spans="1:7" ht="15.75" thickBot="1" x14ac:dyDescent="0.3">
      <c r="B20" s="20" t="s">
        <v>42</v>
      </c>
      <c r="C20" s="20" t="s">
        <v>43</v>
      </c>
      <c r="D20" s="20" t="s">
        <v>44</v>
      </c>
      <c r="E20" s="20" t="s">
        <v>45</v>
      </c>
      <c r="F20" s="20" t="s">
        <v>47</v>
      </c>
    </row>
    <row r="21" spans="1:7" x14ac:dyDescent="0.25">
      <c r="B21" s="22" t="s">
        <v>55</v>
      </c>
      <c r="C21" s="22" t="s">
        <v>24</v>
      </c>
      <c r="D21" s="24">
        <v>0</v>
      </c>
      <c r="E21" s="24">
        <v>0</v>
      </c>
      <c r="F21" s="22" t="s">
        <v>47</v>
      </c>
    </row>
    <row r="22" spans="1:7" ht="15.75" thickBot="1" x14ac:dyDescent="0.3">
      <c r="B22" s="19" t="s">
        <v>57</v>
      </c>
      <c r="C22" s="19" t="s">
        <v>25</v>
      </c>
      <c r="D22" s="23">
        <v>0</v>
      </c>
      <c r="E22" s="23">
        <v>300</v>
      </c>
      <c r="F22" s="19" t="s">
        <v>47</v>
      </c>
    </row>
    <row r="25" spans="1:7" ht="15.75" thickBot="1" x14ac:dyDescent="0.3">
      <c r="A25" t="s">
        <v>48</v>
      </c>
    </row>
    <row r="26" spans="1:7" ht="15.75" thickBot="1" x14ac:dyDescent="0.3">
      <c r="B26" s="20" t="s">
        <v>42</v>
      </c>
      <c r="C26" s="20" t="s">
        <v>43</v>
      </c>
      <c r="D26" s="20" t="s">
        <v>49</v>
      </c>
      <c r="E26" s="20" t="s">
        <v>50</v>
      </c>
      <c r="F26" s="20" t="s">
        <v>51</v>
      </c>
      <c r="G26" s="20" t="s">
        <v>52</v>
      </c>
    </row>
    <row r="27" spans="1:7" x14ac:dyDescent="0.25">
      <c r="B27" s="22" t="s">
        <v>58</v>
      </c>
      <c r="C27" s="22" t="s">
        <v>59</v>
      </c>
      <c r="D27" s="24">
        <v>18000</v>
      </c>
      <c r="E27" s="22" t="s">
        <v>60</v>
      </c>
      <c r="F27" s="22" t="s">
        <v>61</v>
      </c>
      <c r="G27" s="22">
        <v>42000</v>
      </c>
    </row>
    <row r="28" spans="1:7" x14ac:dyDescent="0.25">
      <c r="B28" s="22" t="s">
        <v>62</v>
      </c>
      <c r="C28" s="22" t="s">
        <v>63</v>
      </c>
      <c r="D28" s="24">
        <v>18000</v>
      </c>
      <c r="E28" s="22" t="s">
        <v>64</v>
      </c>
      <c r="F28" s="22" t="s">
        <v>61</v>
      </c>
      <c r="G28" s="22">
        <v>66000</v>
      </c>
    </row>
    <row r="29" spans="1:7" x14ac:dyDescent="0.25">
      <c r="B29" s="22" t="s">
        <v>65</v>
      </c>
      <c r="C29" s="22" t="s">
        <v>66</v>
      </c>
      <c r="D29" s="24">
        <v>1200</v>
      </c>
      <c r="E29" s="22" t="s">
        <v>67</v>
      </c>
      <c r="F29" s="22" t="s">
        <v>72</v>
      </c>
      <c r="G29" s="22">
        <v>0</v>
      </c>
    </row>
    <row r="30" spans="1:7" ht="15.75" thickBot="1" x14ac:dyDescent="0.3">
      <c r="B30" s="19" t="s">
        <v>73</v>
      </c>
      <c r="C30" s="19"/>
      <c r="D30" s="19"/>
      <c r="E30" s="19"/>
      <c r="F30" s="19"/>
      <c r="G3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2138-8819-4473-A67B-830386EFF27E}">
  <dimension ref="A1:I18"/>
  <sheetViews>
    <sheetView workbookViewId="0">
      <selection activeCell="D16" sqref="D16"/>
    </sheetView>
  </sheetViews>
  <sheetFormatPr baseColWidth="10" defaultRowHeight="15" x14ac:dyDescent="0.25"/>
  <sheetData>
    <row r="1" spans="1:9" x14ac:dyDescent="0.25">
      <c r="A1" s="1" t="s">
        <v>0</v>
      </c>
      <c r="B1" s="9" t="s">
        <v>1</v>
      </c>
      <c r="C1" s="10"/>
      <c r="D1" s="11"/>
      <c r="E1" s="16" t="s">
        <v>18</v>
      </c>
      <c r="F1" s="5"/>
      <c r="G1" t="s">
        <v>11</v>
      </c>
    </row>
    <row r="2" spans="1:9" x14ac:dyDescent="0.25">
      <c r="A2" s="1"/>
      <c r="B2" s="3" t="s">
        <v>2</v>
      </c>
      <c r="C2" s="3" t="s">
        <v>3</v>
      </c>
      <c r="D2" s="3" t="s">
        <v>4</v>
      </c>
      <c r="E2" s="17"/>
      <c r="F2" s="6"/>
      <c r="G2" s="4" t="s">
        <v>12</v>
      </c>
    </row>
    <row r="3" spans="1:9" x14ac:dyDescent="0.25">
      <c r="A3" s="8" t="s">
        <v>5</v>
      </c>
      <c r="B3" s="8">
        <v>20</v>
      </c>
      <c r="C3" s="8">
        <v>70</v>
      </c>
      <c r="D3" s="8">
        <v>12</v>
      </c>
      <c r="E3" s="8">
        <v>8</v>
      </c>
      <c r="F3" s="7"/>
      <c r="G3" t="s">
        <v>13</v>
      </c>
    </row>
    <row r="4" spans="1:9" x14ac:dyDescent="0.25">
      <c r="A4" s="8" t="s">
        <v>6</v>
      </c>
      <c r="B4" s="8">
        <v>60</v>
      </c>
      <c r="C4" s="8">
        <v>60</v>
      </c>
      <c r="D4" s="8">
        <v>4</v>
      </c>
      <c r="E4" s="8">
        <v>12</v>
      </c>
      <c r="F4" s="7"/>
      <c r="G4" t="s">
        <v>14</v>
      </c>
      <c r="I4" t="s">
        <v>19</v>
      </c>
    </row>
    <row r="5" spans="1:9" x14ac:dyDescent="0.25">
      <c r="A5" s="3" t="s">
        <v>7</v>
      </c>
      <c r="B5" s="3">
        <v>25</v>
      </c>
      <c r="C5" s="3">
        <v>35</v>
      </c>
      <c r="D5" s="3">
        <v>5</v>
      </c>
      <c r="E5" s="3"/>
      <c r="F5" s="7"/>
      <c r="G5" t="s">
        <v>22</v>
      </c>
      <c r="I5" t="s">
        <v>20</v>
      </c>
    </row>
    <row r="6" spans="1:9" x14ac:dyDescent="0.25">
      <c r="A6" s="3" t="s">
        <v>8</v>
      </c>
      <c r="B6" s="3">
        <v>40</v>
      </c>
      <c r="C6" s="3">
        <v>40</v>
      </c>
      <c r="D6" s="3">
        <v>40</v>
      </c>
      <c r="E6" s="3"/>
      <c r="F6" s="7"/>
      <c r="G6" t="s">
        <v>15</v>
      </c>
      <c r="I6" t="s">
        <v>21</v>
      </c>
    </row>
    <row r="7" spans="1:9" x14ac:dyDescent="0.25">
      <c r="A7" s="3" t="s">
        <v>9</v>
      </c>
      <c r="B7" s="3">
        <v>1000</v>
      </c>
      <c r="C7" s="3">
        <v>1400</v>
      </c>
      <c r="D7" s="3">
        <v>200</v>
      </c>
      <c r="E7" s="3"/>
      <c r="F7" s="7"/>
      <c r="G7" t="s">
        <v>16</v>
      </c>
      <c r="H7" t="s">
        <v>68</v>
      </c>
    </row>
    <row r="8" spans="1:9" x14ac:dyDescent="0.25">
      <c r="A8" s="3" t="s">
        <v>10</v>
      </c>
      <c r="B8" s="3">
        <v>60000</v>
      </c>
      <c r="C8" s="3">
        <f>C7*C4</f>
        <v>84000</v>
      </c>
      <c r="D8" s="3">
        <v>1200</v>
      </c>
      <c r="E8" s="3"/>
      <c r="F8" s="7"/>
      <c r="G8" t="s">
        <v>17</v>
      </c>
    </row>
    <row r="11" spans="1:9" x14ac:dyDescent="0.25">
      <c r="A11" s="3" t="s">
        <v>23</v>
      </c>
      <c r="B11" s="3">
        <v>8</v>
      </c>
      <c r="C11" s="3">
        <v>12</v>
      </c>
    </row>
    <row r="12" spans="1:9" x14ac:dyDescent="0.25">
      <c r="A12" s="3"/>
      <c r="B12" s="3" t="s">
        <v>24</v>
      </c>
      <c r="C12" s="3" t="s">
        <v>25</v>
      </c>
    </row>
    <row r="13" spans="1:9" x14ac:dyDescent="0.25">
      <c r="B13">
        <v>0</v>
      </c>
      <c r="C13">
        <v>300</v>
      </c>
    </row>
    <row r="14" spans="1:9" x14ac:dyDescent="0.25">
      <c r="A14" s="3" t="s">
        <v>26</v>
      </c>
      <c r="B14" s="3">
        <f>SUMPRODUCT(B11:C11,B13:C13)</f>
        <v>3600</v>
      </c>
    </row>
    <row r="15" spans="1:9" x14ac:dyDescent="0.25">
      <c r="A15" t="s">
        <v>27</v>
      </c>
    </row>
    <row r="16" spans="1:9" x14ac:dyDescent="0.25">
      <c r="A16" s="3" t="s">
        <v>28</v>
      </c>
      <c r="B16" s="3">
        <v>20</v>
      </c>
      <c r="C16" s="3">
        <v>60</v>
      </c>
      <c r="D16" s="3">
        <f>SUMPRODUCT(B16:C16,$B$13:$C$13)</f>
        <v>18000</v>
      </c>
      <c r="E16" s="3" t="s">
        <v>31</v>
      </c>
      <c r="F16" s="3">
        <v>60000</v>
      </c>
    </row>
    <row r="17" spans="1:6" x14ac:dyDescent="0.25">
      <c r="A17" s="3" t="s">
        <v>29</v>
      </c>
      <c r="B17" s="3">
        <v>70</v>
      </c>
      <c r="C17" s="3">
        <v>60</v>
      </c>
      <c r="D17" s="3">
        <f t="shared" ref="D17:D18" si="0">SUMPRODUCT(B17:C17,$B$13:$C$13)</f>
        <v>18000</v>
      </c>
      <c r="E17" s="3" t="s">
        <v>31</v>
      </c>
      <c r="F17" s="3">
        <v>84000</v>
      </c>
    </row>
    <row r="18" spans="1:6" x14ac:dyDescent="0.25">
      <c r="A18" s="3" t="s">
        <v>30</v>
      </c>
      <c r="B18" s="3">
        <v>12</v>
      </c>
      <c r="C18" s="3">
        <v>4</v>
      </c>
      <c r="D18" s="3">
        <f t="shared" si="0"/>
        <v>1200</v>
      </c>
      <c r="E18" s="3" t="s">
        <v>31</v>
      </c>
      <c r="F18" s="3">
        <v>1200</v>
      </c>
    </row>
  </sheetData>
  <mergeCells count="3">
    <mergeCell ref="A1:A2"/>
    <mergeCell ref="B1:D1"/>
    <mergeCell ref="E1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50-ECB6-4711-8E2D-C44CBA72ADAF}">
  <dimension ref="A1:G33"/>
  <sheetViews>
    <sheetView showGridLines="0" topLeftCell="A14" workbookViewId="0"/>
  </sheetViews>
  <sheetFormatPr baseColWidth="10" defaultRowHeight="15" outlineLevelRow="1" x14ac:dyDescent="0.25"/>
  <cols>
    <col min="1" max="1" width="2.28515625" customWidth="1"/>
    <col min="2" max="2" width="6" bestFit="1" customWidth="1"/>
    <col min="3" max="3" width="14.85546875" bestFit="1" customWidth="1"/>
    <col min="4" max="4" width="15.5703125" bestFit="1" customWidth="1"/>
    <col min="5" max="6" width="13.28515625" bestFit="1" customWidth="1"/>
    <col min="7" max="7" width="12" bestFit="1" customWidth="1"/>
  </cols>
  <sheetData>
    <row r="1" spans="1:5" x14ac:dyDescent="0.25">
      <c r="A1" s="18" t="s">
        <v>32</v>
      </c>
    </row>
    <row r="2" spans="1:5" x14ac:dyDescent="0.25">
      <c r="A2" s="18" t="s">
        <v>102</v>
      </c>
    </row>
    <row r="3" spans="1:5" x14ac:dyDescent="0.25">
      <c r="A3" s="18" t="s">
        <v>103</v>
      </c>
    </row>
    <row r="4" spans="1:5" x14ac:dyDescent="0.25">
      <c r="A4" s="18" t="s">
        <v>34</v>
      </c>
    </row>
    <row r="5" spans="1:5" x14ac:dyDescent="0.25">
      <c r="A5" s="18" t="s">
        <v>35</v>
      </c>
    </row>
    <row r="6" spans="1:5" hidden="1" outlineLevel="1" x14ac:dyDescent="0.25">
      <c r="A6" s="18"/>
      <c r="B6" t="s">
        <v>36</v>
      </c>
    </row>
    <row r="7" spans="1:5" hidden="1" outlineLevel="1" x14ac:dyDescent="0.25">
      <c r="A7" s="18"/>
      <c r="B7" t="s">
        <v>104</v>
      </c>
    </row>
    <row r="8" spans="1:5" hidden="1" outlineLevel="1" x14ac:dyDescent="0.25">
      <c r="A8" s="18"/>
      <c r="B8" t="s">
        <v>105</v>
      </c>
    </row>
    <row r="9" spans="1:5" collapsed="1" x14ac:dyDescent="0.25">
      <c r="A9" s="18" t="s">
        <v>37</v>
      </c>
    </row>
    <row r="10" spans="1:5" hidden="1" outlineLevel="1" x14ac:dyDescent="0.25">
      <c r="B10" t="s">
        <v>38</v>
      </c>
    </row>
    <row r="11" spans="1:5" hidden="1" outlineLevel="1" x14ac:dyDescent="0.25">
      <c r="B11" t="s">
        <v>39</v>
      </c>
    </row>
    <row r="12" spans="1:5" hidden="1" outlineLevel="1" x14ac:dyDescent="0.25">
      <c r="B12" t="s">
        <v>40</v>
      </c>
    </row>
    <row r="13" spans="1:5" collapsed="1" x14ac:dyDescent="0.25"/>
    <row r="14" spans="1:5" ht="15.75" thickBot="1" x14ac:dyDescent="0.3">
      <c r="A14" t="s">
        <v>41</v>
      </c>
    </row>
    <row r="15" spans="1:5" ht="15.75" thickBot="1" x14ac:dyDescent="0.3">
      <c r="B15" s="20" t="s">
        <v>42</v>
      </c>
      <c r="C15" s="20" t="s">
        <v>43</v>
      </c>
      <c r="D15" s="20" t="s">
        <v>44</v>
      </c>
      <c r="E15" s="20" t="s">
        <v>45</v>
      </c>
    </row>
    <row r="16" spans="1:5" ht="15.75" thickBot="1" x14ac:dyDescent="0.3">
      <c r="B16" s="19" t="s">
        <v>106</v>
      </c>
      <c r="C16" s="19" t="s">
        <v>107</v>
      </c>
      <c r="D16" s="23">
        <v>0</v>
      </c>
      <c r="E16" s="23">
        <v>8100</v>
      </c>
    </row>
    <row r="19" spans="1:7" ht="15.75" thickBot="1" x14ac:dyDescent="0.3">
      <c r="A19" t="s">
        <v>46</v>
      </c>
    </row>
    <row r="20" spans="1:7" ht="15.75" thickBot="1" x14ac:dyDescent="0.3">
      <c r="B20" s="20" t="s">
        <v>42</v>
      </c>
      <c r="C20" s="20" t="s">
        <v>43</v>
      </c>
      <c r="D20" s="20" t="s">
        <v>44</v>
      </c>
      <c r="E20" s="20" t="s">
        <v>45</v>
      </c>
      <c r="F20" s="20" t="s">
        <v>47</v>
      </c>
    </row>
    <row r="21" spans="1:7" x14ac:dyDescent="0.25">
      <c r="B21" s="29" t="s">
        <v>121</v>
      </c>
      <c r="C21" s="28"/>
      <c r="D21" s="28"/>
      <c r="E21" s="28"/>
      <c r="F21" s="28"/>
    </row>
    <row r="22" spans="1:7" hidden="1" outlineLevel="1" x14ac:dyDescent="0.25">
      <c r="B22" s="22" t="s">
        <v>108</v>
      </c>
      <c r="C22" s="22" t="s">
        <v>83</v>
      </c>
      <c r="D22" s="24">
        <v>0</v>
      </c>
      <c r="E22" s="24">
        <v>0</v>
      </c>
      <c r="F22" s="22" t="s">
        <v>56</v>
      </c>
    </row>
    <row r="23" spans="1:7" hidden="1" outlineLevel="1" x14ac:dyDescent="0.25">
      <c r="B23" s="22" t="s">
        <v>109</v>
      </c>
      <c r="C23" s="22" t="s">
        <v>84</v>
      </c>
      <c r="D23" s="24">
        <v>0</v>
      </c>
      <c r="E23" s="24">
        <v>133.33333333333331</v>
      </c>
      <c r="F23" s="22" t="s">
        <v>56</v>
      </c>
    </row>
    <row r="24" spans="1:7" hidden="1" outlineLevel="1" x14ac:dyDescent="0.25">
      <c r="B24" s="22" t="s">
        <v>110</v>
      </c>
      <c r="C24" s="22" t="s">
        <v>85</v>
      </c>
      <c r="D24" s="24">
        <v>0</v>
      </c>
      <c r="E24" s="24">
        <v>0</v>
      </c>
      <c r="F24" s="22" t="s">
        <v>56</v>
      </c>
    </row>
    <row r="25" spans="1:7" ht="15.75" hidden="1" outlineLevel="1" thickBot="1" x14ac:dyDescent="0.3">
      <c r="B25" s="19" t="s">
        <v>111</v>
      </c>
      <c r="C25" s="19" t="s">
        <v>86</v>
      </c>
      <c r="D25" s="23">
        <v>0</v>
      </c>
      <c r="E25" s="23">
        <v>50.000000000000043</v>
      </c>
      <c r="F25" s="19" t="s">
        <v>56</v>
      </c>
    </row>
    <row r="26" spans="1:7" collapsed="1" x14ac:dyDescent="0.25">
      <c r="B26" s="21"/>
      <c r="C26" s="21"/>
      <c r="D26" s="25"/>
      <c r="E26" s="25"/>
      <c r="F26" s="21"/>
    </row>
    <row r="29" spans="1:7" ht="15.75" thickBot="1" x14ac:dyDescent="0.3">
      <c r="A29" t="s">
        <v>48</v>
      </c>
    </row>
    <row r="30" spans="1:7" ht="15.75" thickBot="1" x14ac:dyDescent="0.3">
      <c r="B30" s="20" t="s">
        <v>42</v>
      </c>
      <c r="C30" s="20" t="s">
        <v>43</v>
      </c>
      <c r="D30" s="20" t="s">
        <v>49</v>
      </c>
      <c r="E30" s="20" t="s">
        <v>50</v>
      </c>
      <c r="F30" s="20" t="s">
        <v>51</v>
      </c>
      <c r="G30" s="20" t="s">
        <v>52</v>
      </c>
    </row>
    <row r="31" spans="1:7" x14ac:dyDescent="0.25">
      <c r="B31" s="22" t="s">
        <v>112</v>
      </c>
      <c r="C31" s="22" t="s">
        <v>113</v>
      </c>
      <c r="D31" s="24">
        <v>500</v>
      </c>
      <c r="E31" s="22" t="s">
        <v>114</v>
      </c>
      <c r="F31" s="22" t="s">
        <v>72</v>
      </c>
      <c r="G31" s="22">
        <v>0</v>
      </c>
    </row>
    <row r="32" spans="1:7" x14ac:dyDescent="0.25">
      <c r="B32" s="22" t="s">
        <v>115</v>
      </c>
      <c r="C32" s="22" t="s">
        <v>116</v>
      </c>
      <c r="D32" s="24">
        <v>366.66666666666674</v>
      </c>
      <c r="E32" s="22" t="s">
        <v>117</v>
      </c>
      <c r="F32" s="22" t="s">
        <v>61</v>
      </c>
      <c r="G32" s="22">
        <v>13.333333333333258</v>
      </c>
    </row>
    <row r="33" spans="2:7" ht="15.75" thickBot="1" x14ac:dyDescent="0.3">
      <c r="B33" s="19" t="s">
        <v>118</v>
      </c>
      <c r="C33" s="19" t="s">
        <v>119</v>
      </c>
      <c r="D33" s="23">
        <v>450</v>
      </c>
      <c r="E33" s="19" t="s">
        <v>120</v>
      </c>
      <c r="F33" s="19" t="s">
        <v>72</v>
      </c>
      <c r="G33" s="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0F89-5148-4B82-A506-30181F5E83FF}">
  <dimension ref="A2:H28"/>
  <sheetViews>
    <sheetView topLeftCell="A14" workbookViewId="0">
      <selection activeCell="H18" sqref="H18"/>
    </sheetView>
  </sheetViews>
  <sheetFormatPr baseColWidth="10" defaultRowHeight="15" x14ac:dyDescent="0.25"/>
  <sheetData>
    <row r="2" spans="1:7" x14ac:dyDescent="0.25">
      <c r="A2" s="2" t="s">
        <v>75</v>
      </c>
      <c r="B2" s="2"/>
      <c r="C2" s="2"/>
      <c r="D2" s="2"/>
      <c r="E2" s="2"/>
      <c r="F2" s="2"/>
      <c r="G2" s="2"/>
    </row>
    <row r="3" spans="1:7" x14ac:dyDescent="0.25">
      <c r="A3" s="3" t="s">
        <v>74</v>
      </c>
      <c r="B3" s="3" t="s">
        <v>81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</row>
    <row r="4" spans="1:7" x14ac:dyDescent="0.25">
      <c r="A4" s="3">
        <v>1</v>
      </c>
      <c r="B4" s="3">
        <v>10</v>
      </c>
      <c r="C4" s="3">
        <v>2</v>
      </c>
      <c r="D4" s="3">
        <v>3</v>
      </c>
      <c r="E4" s="3">
        <v>4</v>
      </c>
      <c r="F4" s="3">
        <v>2</v>
      </c>
      <c r="G4" s="3">
        <v>500</v>
      </c>
    </row>
    <row r="5" spans="1:7" x14ac:dyDescent="0.25">
      <c r="A5" s="3">
        <v>2</v>
      </c>
      <c r="B5" s="3">
        <v>5</v>
      </c>
      <c r="C5" s="3">
        <v>3</v>
      </c>
      <c r="D5" s="3">
        <v>2</v>
      </c>
      <c r="E5" s="3">
        <v>1</v>
      </c>
      <c r="F5" s="3">
        <v>2</v>
      </c>
      <c r="G5" s="3">
        <v>380</v>
      </c>
    </row>
    <row r="6" spans="1:7" x14ac:dyDescent="0.25">
      <c r="A6" s="3">
        <v>3</v>
      </c>
      <c r="B6" s="3">
        <v>4</v>
      </c>
      <c r="C6" s="3">
        <v>7</v>
      </c>
      <c r="D6" s="3">
        <v>3</v>
      </c>
      <c r="E6" s="3">
        <v>2</v>
      </c>
      <c r="F6" s="3">
        <v>1</v>
      </c>
      <c r="G6" s="3">
        <v>450</v>
      </c>
    </row>
    <row r="7" spans="1:7" x14ac:dyDescent="0.25">
      <c r="A7" s="27" t="s">
        <v>82</v>
      </c>
      <c r="B7" s="14">
        <v>19</v>
      </c>
      <c r="C7" s="1">
        <v>75</v>
      </c>
      <c r="D7" s="1">
        <v>70</v>
      </c>
      <c r="E7" s="1">
        <v>55</v>
      </c>
      <c r="F7" s="1">
        <v>45</v>
      </c>
      <c r="G7" s="12"/>
    </row>
    <row r="8" spans="1:7" x14ac:dyDescent="0.25">
      <c r="A8" s="27"/>
      <c r="B8" s="15"/>
      <c r="C8" s="1"/>
      <c r="D8" s="1"/>
      <c r="E8" s="1"/>
      <c r="F8" s="1"/>
      <c r="G8" s="13"/>
    </row>
    <row r="10" spans="1:7" x14ac:dyDescent="0.25">
      <c r="A10" t="s">
        <v>87</v>
      </c>
      <c r="E10">
        <f>C7-B7</f>
        <v>56</v>
      </c>
    </row>
    <row r="11" spans="1:7" x14ac:dyDescent="0.25">
      <c r="A11" t="s">
        <v>88</v>
      </c>
      <c r="E11">
        <f>+D7-B7</f>
        <v>51</v>
      </c>
    </row>
    <row r="12" spans="1:7" x14ac:dyDescent="0.25">
      <c r="A12" t="s">
        <v>89</v>
      </c>
      <c r="E12">
        <f>E7-B7</f>
        <v>36</v>
      </c>
    </row>
    <row r="13" spans="1:7" x14ac:dyDescent="0.25">
      <c r="A13" t="s">
        <v>90</v>
      </c>
      <c r="E13">
        <f>F7-B7</f>
        <v>26</v>
      </c>
    </row>
    <row r="14" spans="1:7" x14ac:dyDescent="0.25">
      <c r="A14" t="s">
        <v>91</v>
      </c>
    </row>
    <row r="16" spans="1:7" x14ac:dyDescent="0.25">
      <c r="A16" t="s">
        <v>92</v>
      </c>
    </row>
    <row r="17" spans="1:8" x14ac:dyDescent="0.25">
      <c r="A17" t="s">
        <v>93</v>
      </c>
    </row>
    <row r="18" spans="1:8" x14ac:dyDescent="0.25">
      <c r="A18" t="s">
        <v>94</v>
      </c>
      <c r="H18" s="30"/>
    </row>
    <row r="19" spans="1:8" x14ac:dyDescent="0.25">
      <c r="A19" t="s">
        <v>95</v>
      </c>
    </row>
    <row r="21" spans="1:8" x14ac:dyDescent="0.25">
      <c r="A21" t="s">
        <v>96</v>
      </c>
      <c r="B21">
        <v>56</v>
      </c>
      <c r="C21">
        <v>51</v>
      </c>
      <c r="D21">
        <v>36</v>
      </c>
      <c r="E21">
        <v>26</v>
      </c>
    </row>
    <row r="22" spans="1:8" x14ac:dyDescent="0.25">
      <c r="B22" t="s">
        <v>83</v>
      </c>
      <c r="C22" t="s">
        <v>84</v>
      </c>
      <c r="D22" t="s">
        <v>85</v>
      </c>
      <c r="E22" t="s">
        <v>86</v>
      </c>
    </row>
    <row r="23" spans="1:8" x14ac:dyDescent="0.25">
      <c r="B23">
        <v>0</v>
      </c>
      <c r="C23">
        <v>133.33333333333331</v>
      </c>
      <c r="D23">
        <v>0</v>
      </c>
      <c r="E23" s="30">
        <v>50.000000000000043</v>
      </c>
    </row>
    <row r="24" spans="1:8" x14ac:dyDescent="0.25">
      <c r="A24" t="s">
        <v>97</v>
      </c>
      <c r="B24">
        <f>SUMPRODUCT(B21:E21,B23:E23)</f>
        <v>8100</v>
      </c>
    </row>
    <row r="25" spans="1:8" x14ac:dyDescent="0.25">
      <c r="A25" t="s">
        <v>98</v>
      </c>
    </row>
    <row r="26" spans="1:8" x14ac:dyDescent="0.25">
      <c r="A26" t="s">
        <v>99</v>
      </c>
      <c r="B26">
        <v>2</v>
      </c>
      <c r="C26">
        <v>3</v>
      </c>
      <c r="D26">
        <v>4</v>
      </c>
      <c r="E26">
        <v>2</v>
      </c>
      <c r="F26">
        <f>SUMPRODUCT(B26:E26,$B$23:$E$23)</f>
        <v>500</v>
      </c>
      <c r="G26" t="s">
        <v>31</v>
      </c>
      <c r="H26">
        <v>500</v>
      </c>
    </row>
    <row r="27" spans="1:8" x14ac:dyDescent="0.25">
      <c r="A27" t="s">
        <v>100</v>
      </c>
      <c r="B27">
        <v>3</v>
      </c>
      <c r="C27">
        <v>2</v>
      </c>
      <c r="D27">
        <v>1</v>
      </c>
      <c r="E27">
        <v>2</v>
      </c>
      <c r="F27">
        <f t="shared" ref="F27:F28" si="0">SUMPRODUCT(B27:E27,$B$23:$E$23)</f>
        <v>366.66666666666674</v>
      </c>
      <c r="G27" t="s">
        <v>31</v>
      </c>
      <c r="H27">
        <v>380</v>
      </c>
    </row>
    <row r="28" spans="1:8" x14ac:dyDescent="0.25">
      <c r="A28" t="s">
        <v>101</v>
      </c>
      <c r="B28">
        <v>7</v>
      </c>
      <c r="C28">
        <v>3</v>
      </c>
      <c r="D28">
        <v>2</v>
      </c>
      <c r="E28">
        <v>1</v>
      </c>
      <c r="F28">
        <f t="shared" si="0"/>
        <v>450</v>
      </c>
      <c r="G28" t="s">
        <v>31</v>
      </c>
      <c r="H28">
        <v>450</v>
      </c>
    </row>
  </sheetData>
  <mergeCells count="8">
    <mergeCell ref="A7:A8"/>
    <mergeCell ref="A2:G2"/>
    <mergeCell ref="C7:C8"/>
    <mergeCell ref="D7:D8"/>
    <mergeCell ref="E7:E8"/>
    <mergeCell ref="F7:F8"/>
    <mergeCell ref="B7:B8"/>
    <mergeCell ref="G7:G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de respuestas 1</vt:lpstr>
      <vt:lpstr>Hoja1</vt:lpstr>
      <vt:lpstr>Informe de respuestas 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Coaquira Cruz</dc:creator>
  <cp:lastModifiedBy>Brayan Coaquira Cruz</cp:lastModifiedBy>
  <dcterms:created xsi:type="dcterms:W3CDTF">2025-04-28T18:22:09Z</dcterms:created>
  <dcterms:modified xsi:type="dcterms:W3CDTF">2025-04-28T19:56:23Z</dcterms:modified>
</cp:coreProperties>
</file>